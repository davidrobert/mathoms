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Achados Detalhados" sheetId="2" state="visible" r:id="rId4"/>
    <sheet name="Ações Prioritárias" sheetId="3" state="visible" r:id="rId5"/>
    <sheet name="Categorias de Risc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<sst xmlns="http://schemas.openxmlformats.org/spreadsheetml/2006/main" count="519" uniqueCount="285">
  <si>
    <t xml:space="preserve">Script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</si>
  <si>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</si>
  <si>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</si>
  <si>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</si>
  <si>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</si>
  <si>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</si>
  <si>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e_reset.py</t>
  </si>
  <si>
    <t xml:space="preserve">e_save.py</t>
  </si>
  <si>
    <t xml:space="preserve">e0_audit.py</t>
  </si>
  <si>
    <t xml:space="preserve">e0_unlock.py</t>
  </si>
  <si>
    <t xml:space="preserve">e2_extract_faturas.py</t>
  </si>
  <si>
    <t xml:space="preserve">e3_reconcile.py</t>
  </si>
  <si>
    <t xml:space="preserve">e4_categorize.py</t>
  </si>
  <si>
    <t xml:space="preserve">e5_analyze.py</t>
  </si>
  <si>
    <t xml:space="preserve">e5n_narrativas.py</t>
  </si>
  <si>
    <t xml:space="preserve">e6_render.py</t>
  </si>
  <si>
    <t xml:space="preserve">e6_regen.py</t>
  </si>
  <si>
    <t xml:space="preserve">extract_statements.py</t>
  </si>
  <si>
    <t xml:space="preserve">extract_statements_v2.py</t>
  </si>
  <si>
    <t xml:space="preserve">analyze_e4_financials.py</t>
  </si>
  <si>
    <t xml:space="preserve">#</t>
  </si>
  <si>
    <t xml:space="preserve">Severidade</t>
  </si>
  <si>
    <t xml:space="preserve">Categoria</t>
  </si>
  <si>
    <t xml:space="preserve">Descrição</t>
  </si>
  <si>
    <t xml:space="preserve">Linhas</t>
  </si>
  <si>
    <t xml:space="preserve">Impacto / O que pode dar errado</t>
  </si>
  <si>
    <t xml:space="preserve">Lógica</t>
  </si>
  <si>
    <t xml:space="preserve">Detecção de faturas E2 por tipo JSON é frágil: tipo=null ou formatos inesperados escapam. Fallback por nome de arquivo é fuzzy ('fatura' em qualquer posição).</t>
  </si>
  <si>
    <t xml:space="preserve">129-139</t>
  </si>
  <si>
    <t xml:space="preserve">E2-faturas reset pode deletar ou preservar arquivos errados, propagando dados stale pelo pipeline.</t>
  </si>
  <si>
    <t xml:space="preserve">Validação</t>
  </si>
  <si>
    <t xml:space="preserve">Validação E4 completamente pulada: _check_json_content recebe lista vazia de campos obrigatórios.</t>
  </si>
  <si>
    <t xml:space="preserve">369-378</t>
  </si>
  <si>
    <t xml:space="preserve">Arquivos E4 corrompidos ou vazios passam sem detecção, causando erros em E5/E6.</t>
  </si>
  <si>
    <t xml:space="preserve">UX</t>
  </si>
  <si>
    <t xml:space="preserve">Strip de narrativas E5.N acontece antes da execução LLM ser solicitada — narrativas anteriores são perdidas sem regeneração automática.</t>
  </si>
  <si>
    <t xml:space="preserve">150-151, 576-582</t>
  </si>
  <si>
    <t xml:space="preserve">Usuário perde narrativas sem saber que precisa re-rodar E5.N manualmente.</t>
  </si>
  <si>
    <t xml:space="preserve">JSON validation trata 0 como 'vazio' — valor legítimo zero é rejeitado. Não valida estruturas aninhadas ([{}]).</t>
  </si>
  <si>
    <t xml:space="preserve">333-347</t>
  </si>
  <si>
    <t xml:space="preserve">Dados válidos rejeitados ou dados inválidos aceitos silenciosamente.</t>
  </si>
  <si>
    <t xml:space="preserve">Resiliência</t>
  </si>
  <si>
    <t xml:space="preserve">Falha em script determinístico causa exit sem rollback — artefatos já foram deletados.</t>
  </si>
  <si>
    <t xml:space="preserve">652-653</t>
  </si>
  <si>
    <t xml:space="preserve">Pipeline fica em estado inconsistente: artefatos antigos deletados, novos não gerados.</t>
  </si>
  <si>
    <t xml:space="preserve">Precisão</t>
  </si>
  <si>
    <t xml:space="preserve">Check de inputs E2-faturas usa glob '*fatura*-0_original.pdf' — naming convention frágil.</t>
  </si>
  <si>
    <t xml:space="preserve">616-622</t>
  </si>
  <si>
    <t xml:space="preserve">Inputs legítimos não detectados ou falsos positivos em nomes semelhantes.</t>
  </si>
  <si>
    <t xml:space="preserve">git diff --stat HEAD mostra apenas changes committed, não staged. Deveria ser git diff --cached --stat.</t>
  </si>
  <si>
    <t xml:space="preserve">96-97</t>
  </si>
  <si>
    <t xml:space="preserve">Diff stats mostrados ao usuário não correspondem ao que será commitado.</t>
  </si>
  <si>
    <t xml:space="preserve">i18n</t>
  </si>
  <si>
    <t xml:space="preserve">'nothing to commit' check depende de locale inglês do git. Em sistemas pt-BR, a mensagem é diferente.</t>
  </si>
  <si>
    <t xml:space="preserve">153-155</t>
  </si>
  <si>
    <t xml:space="preserve">Em sistemas não-inglês, o caso 'nada para commitar' não é detectado.</t>
  </si>
  <si>
    <t xml:space="preserve">Hardcode</t>
  </si>
  <si>
    <t xml:space="preserve">Push hardcoda 'origin' e 'main'. Não verifica branch atual nem remote configurado.</t>
  </si>
  <si>
    <t xml:space="preserve">162-171</t>
  </si>
  <si>
    <t xml:space="preserve">Push falha silenciosamente se usuário está em branch diferente.</t>
  </si>
  <si>
    <t xml:space="preserve">Parsing</t>
  </si>
  <si>
    <t xml:space="preserve">Parsing de git status --short assume 3 chars de prefixo. Filenames com espaços ou renames podem quebrar.</t>
  </si>
  <si>
    <t xml:space="preserve">101-111</t>
  </si>
  <si>
    <t xml:space="preserve">Arquivos proibidos podem escapar ou arquivos legítimos serem bloqueados.</t>
  </si>
  <si>
    <t xml:space="preserve">Condição 'not tipo_parts == []' na linha 71 impede que primeiro segmento de data seja classificado como período quando tipo_parts ainda está vazio.</t>
  </si>
  <si>
    <t xml:space="preserve">71-77</t>
  </si>
  <si>
    <t xml:space="preserve">Arquivos com naming patterns mínimos falham no parse, gerando alertas falsos de 'órfão'.</t>
  </si>
  <si>
    <t xml:space="preserve">Comparação de períodos usa strings ao invés de inteiros: '202512' &lt;= '202601' funciona, mas é semanticamente incorreto.</t>
  </si>
  <si>
    <t xml:space="preserve">286-309</t>
  </si>
  <si>
    <t xml:space="preserve">Detecção de overlap temporal não é confiável para todos os cenários.</t>
  </si>
  <si>
    <t xml:space="preserve">Config</t>
  </si>
  <si>
    <t xml:space="preserve">_load_institutions() retorna {} silenciosamente se arquivo não existe. Sem warning — todo matching fica non-functional.</t>
  </si>
  <si>
    <t xml:space="preserve">128-137</t>
  </si>
  <si>
    <t xml:space="preserve">Check 1 (filename vs JSON) produz falsos positivos em todos os arquivos.</t>
  </si>
  <si>
    <t xml:space="preserve">Tolerância de saldo hardcodada em 0.01 sem config override. Inadequada para moedas não-BRL.</t>
  </si>
  <si>
    <t xml:space="preserve">425</t>
  </si>
  <si>
    <t xml:space="preserve">Gaps reais em contas USD/EUR &lt; 0.01 passam despercebidos.</t>
  </si>
  <si>
    <t xml:space="preserve">Segurança</t>
  </si>
  <si>
    <t xml:space="preserve">Output mostra últimos 2 caracteres da senha em modo dry-run. Senhas NUNCA devem ser logadas.</t>
  </si>
  <si>
    <t xml:space="preserve">99</t>
  </si>
  <si>
    <t xml:space="preserve">Vazamento parcial de senha em logs capturados.</t>
  </si>
  <si>
    <t xml:space="preserve">Dados</t>
  </si>
  <si>
    <t xml:space="preserve">Substituição de arquivo sem backup: tmp.replace(pdf_path) sobrescreve original. Se unlock corrompe, original perdido.</t>
  </si>
  <si>
    <t xml:space="preserve">102-105</t>
  </si>
  <si>
    <t xml:space="preserve">Perda de dados irreversível se descompressão corromper o PDF.</t>
  </si>
  <si>
    <t xml:space="preserve">PDFs corrompidos (não-PDF) são tratados como 'não encriptados' pelo is_encrypted() que engole todas as exceções.</t>
  </si>
  <si>
    <t xml:space="preserve">82-90</t>
  </si>
  <si>
    <t xml:space="preserve">PDFs corrompidos passam para E2, que falha com erros obscuros.</t>
  </si>
  <si>
    <t xml:space="preserve">Lista DEST_DIRS hardcodada. Novos diretórios de dados (insurance, investments) não são varridos.</t>
  </si>
  <si>
    <t xml:space="preserve">42-48</t>
  </si>
  <si>
    <t xml:space="preserve">PDFs encriptados em novos diretórios escapam detecção.</t>
  </si>
  <si>
    <t xml:space="preserve">Arquivo passwords.txt em texto plano sem verificação de permissões (chmod 600).</t>
  </si>
  <si>
    <t xml:space="preserve">40</t>
  </si>
  <si>
    <t xml:space="preserve">Senhas expostas se config/ for world-readable.</t>
  </si>
  <si>
    <t xml:space="preserve">Se family_members.json não existe, _TITULAR = {} e todas as regex de nome caem em fallbacks hardcodados com nome completo do David.</t>
  </si>
  <si>
    <t xml:space="preserve">42-50</t>
  </si>
  <si>
    <t xml:space="preserve">Falha silenciosa: campo 'titular' fica None em todas as faturas.</t>
  </si>
  <si>
    <t xml:space="preserve">Resolução de ano em datas: se fatura é Nov, transação Jan recebe year -= 1, quando deveria ser ano corrente.</t>
  </si>
  <si>
    <t xml:space="preserve">155-182</t>
  </si>
  <si>
    <t xml:space="preserve">Erros de data em transações que cruzam virada de ano.</t>
  </si>
  <si>
    <t xml:space="preserve">Regex de nome do titular diferente por parser (C6 vs Santander vs Itaú). 'FERREIRA CAMPOS' vs 'FERREIR\w*' vs 'DE CAMPOS'.</t>
  </si>
  <si>
    <t xml:space="preserve">211-214, 403-405, 599-601</t>
  </si>
  <si>
    <t xml:space="preserve">Mesmo titular reconhecido de formas inconsistentes entre bancos.</t>
  </si>
  <si>
    <t xml:space="preserve">IOF despesa no exterior usa data_vencimento como data da transação, não data real do IOF.</t>
  </si>
  <si>
    <t xml:space="preserve">500-511</t>
  </si>
  <si>
    <t xml:space="preserve">IOF com data errada impossibilita matching com transação forex subjacente.</t>
  </si>
  <si>
    <t xml:space="preserve">Deduplicação cross-file mantém transações do arquivo com MAIS ocorrências (max count), não uma por fonte. Lógica arbitrária.</t>
  </si>
  <si>
    <t xml:space="preserve">282-304</t>
  </si>
  <si>
    <t xml:space="preserve">Transações legítimas de fontes com menos ocorrências são perdidas silenciosamente.</t>
  </si>
  <si>
    <t xml:space="preserve">Gaps de saldo &gt; R$0.01 são apenas logados como warning. Pipeline continua sobre dados com ledger fundamentalmente quebrado.</t>
  </si>
  <si>
    <t xml:space="preserve">343-351</t>
  </si>
  <si>
    <t xml:space="preserve">Reconciliação marcada como sucesso mesmo com saldo inconsistente.</t>
  </si>
  <si>
    <t xml:space="preserve">Transações ordenadas por string de data, não por data parseada. '' (vazio) ordena antes de tudo.</t>
  </si>
  <si>
    <t xml:space="preserve">667</t>
  </si>
  <si>
    <t xml:space="preserve">Ordem cronológica incorreta se formato de data for inconsistente ou campos vazios.</t>
  </si>
  <si>
    <t xml:space="preserve">Moeda default BRL sem warning quando campo está ausente. Conta USD pode ser conflada com BRL.</t>
  </si>
  <si>
    <t xml:space="preserve">194-202, 644</t>
  </si>
  <si>
    <t xml:space="preserve">Duas contas diferentes (USD vs BRL) ganham mesma chave e são merged.</t>
  </si>
  <si>
    <t xml:space="preserve">saldo_inicial/final = None convertido silenciosamente para 0. Indistinguível de saldo zero real.</t>
  </si>
  <si>
    <t xml:space="preserve">674-688</t>
  </si>
  <si>
    <t xml:space="preserve">Downstream não consegue distinguir 'saldo desconhecido' de 'saldo zero'.</t>
  </si>
  <si>
    <t xml:space="preserve">Tombstone logic: data.get('transacoes_total', data.get('transacoes')) trata 0 e [] como falsy → skip silencioso de meses legítimos com zero transações.</t>
  </si>
  <si>
    <t xml:space="preserve">231</t>
  </si>
  <si>
    <t xml:space="preserve">Gaps nos dados: meses sem transações são excluídos sem warning.</t>
  </si>
  <si>
    <t xml:space="preserve">Wildcard matching com '*' faz tanto startswith/endswith QUANTO contains. 'PIX*' captura qualquer string com 'PIX' em qualquer posição.</t>
  </si>
  <si>
    <t xml:space="preserve">87-103</t>
  </si>
  <si>
    <t xml:space="preserve">Categorização incorreta: keywords vagas capturam transações não relacionadas.</t>
  </si>
  <si>
    <t xml:space="preserve">Merchants hardcodados: NATHALIACASADE→alimentacao, ABDO MOHAMED→saude, C6 'Pagamento'→transferência interna.</t>
  </si>
  <si>
    <t xml:space="preserve">129-145</t>
  </si>
  <si>
    <t xml:space="preserve">Mudanças em descrições bancárias ou novos merchants quebram classificação.</t>
  </si>
  <si>
    <t xml:space="preserve">abs(valor) aplicado a despesas sem validar convenção de sinal por banco. Se banco envia débito como positivo, valor é dobrado.</t>
  </si>
  <si>
    <t xml:space="preserve">359</t>
  </si>
  <si>
    <t xml:space="preserve">Despesas potencialmente dobradas para bancos com convenção de sinal diferente.</t>
  </si>
  <si>
    <t xml:space="preserve">Performance</t>
  </si>
  <si>
    <t xml:space="preserve">Loop nested O(months × transactions) para agregar por mês. Deveria ser dict-based O(n).</t>
  </si>
  <si>
    <t xml:space="preserve">442-459</t>
  </si>
  <si>
    <t xml:space="preserve">Performance degrada significativamente com datasets maiores.</t>
  </si>
  <si>
    <t xml:space="preserve">Erro</t>
  </si>
  <si>
    <t xml:space="preserve">Bare except: (sem tipo) captura SystemExit e KeyboardInterrupt. Retorna 'N/D' sem logging.</t>
  </si>
  <si>
    <t xml:space="preserve">213</t>
  </si>
  <si>
    <t xml:space="preserve">Erros de parsing silenciados; script não pode ser interrompido com Ctrl+C.</t>
  </si>
  <si>
    <t xml:space="preserve">aporte_mensal = 20000 e retorno_real_anual = 0.06 hardcodados no cálculo de IF prazo. Viola regra 'nunca hardcodar'.</t>
  </si>
  <si>
    <t xml:space="preserve">322-335</t>
  </si>
  <si>
    <t xml:space="preserve">Projeção IF inteira depende de premissas fixas. 3% real vs 6% dobra o prazo.</t>
  </si>
  <si>
    <t xml:space="preserve">Inconsistência</t>
  </si>
  <si>
    <t xml:space="preserve">ONE_TIME_INCOME_KEYWORDS inclui 'kiwify' (que é CLT David, não one-time) contradizendo memória do projeto.</t>
  </si>
  <si>
    <t xml:space="preserve">43-46</t>
  </si>
  <si>
    <t xml:space="preserve">receita_recorrente subestimada → taxa_poupança incorreta → score enviesado.</t>
  </si>
  <si>
    <t xml:space="preserve">patrimonio_investivel = bruto - residencia - veiculos sem validar que resultado ≥ 0 e &lt; bruto.</t>
  </si>
  <si>
    <t xml:space="preserve">296-297</t>
  </si>
  <si>
    <t xml:space="preserve">Investível negativo quebra cálculos IF (log de número negativo = erro).</t>
  </si>
  <si>
    <t xml:space="preserve">num_months fallback = 15 hardcodado sem validação contra dados reais.</t>
  </si>
  <si>
    <t xml:space="preserve">495-499</t>
  </si>
  <si>
    <t xml:space="preserve">Médias mensais incorretas se período real difere de 15 meses.</t>
  </si>
  <si>
    <t xml:space="preserve">Classificação de investimentos por keyword fuzzy: 'CDB em Ações' matcharia 'cdb'→Renda Fixa (errado).</t>
  </si>
  <si>
    <t xml:space="preserve">785-808</t>
  </si>
  <si>
    <t xml:space="preserve">Alocação de ativos incorreta → recomendações de contrafluxo enviesadas.</t>
  </si>
  <si>
    <t xml:space="preserve">Score interpolation ranges arbitrários (taxa_poup 0-50%, cobertura 3-24m, diversif 1-5). Sem justificativa ou config.</t>
  </si>
  <si>
    <t xml:space="preserve">608-628</t>
  </si>
  <si>
    <t xml:space="preserve">Score 7.7/10 é relativo a ranges arbitrários. Com ranges diferentes, mesmo portfólio teria nota diferente.</t>
  </si>
  <si>
    <t xml:space="preserve">Incompleto</t>
  </si>
  <si>
    <t xml:space="preserve">rentabilidade_pct sempre 'N/D' — gera ação urgente falsa a cada execução mesmo se dados existem.</t>
  </si>
  <si>
    <t xml:space="preserve">552-553</t>
  </si>
  <si>
    <t xml:space="preserve">Narrativa sempre inclui ação para 'consolidar rentabilidade' mesmo quando não aplicável.</t>
  </si>
  <si>
    <t xml:space="preserve">Silencioso</t>
  </si>
  <si>
    <t xml:space="preserve">Se baseline está vazio, patrimonio = 0 sem erro. Script completa com sucesso reportando patrimônio zero.</t>
  </si>
  <si>
    <t xml:space="preserve">1256-1263</t>
  </si>
  <si>
    <t xml:space="preserve">Usuário confia no relatório achando que patrimônio é zero, quando na verdade a fonte de dados está ausente.</t>
  </si>
  <si>
    <t xml:space="preserve">Dezenas de valores hardcodados nas narrativas: salário R$10,9k, custo fase R$32,4k, sobra R$38,2k, IF 9 anos/2035, yield 3,2%, etc.</t>
  </si>
  <si>
    <t xml:space="preserve">244-450+</t>
  </si>
  <si>
    <t xml:space="preserve">Narrativas ficam factualmente incorretas assim que qualquer dado subjacente muda.</t>
  </si>
  <si>
    <t xml:space="preserve">diversificacao hardcodado como 5 ao invés de extraído do score.componentes.</t>
  </si>
  <si>
    <t xml:space="preserve">81-82</t>
  </si>
  <si>
    <t xml:space="preserve">Narrativa sempre diz '5 categorias de ativos' independente do real.</t>
  </si>
  <si>
    <t xml:space="preserve">fmt_currency faz .replace('.', ',') que é frágil — pode transformar separador de milhar em vírgula em branches inesperados.</t>
  </si>
  <si>
    <t xml:space="preserve">111-125</t>
  </si>
  <si>
    <t xml:space="preserve">Valores monetários formatados incorretamente em edge cases.</t>
  </si>
  <si>
    <t xml:space="preserve">validate_narrativas regex para decimal check tem falso positivo: 'R$ 1.234.567k' (separadores de milhar válidos) é flaggado.</t>
  </si>
  <si>
    <t xml:space="preserve">197-207</t>
  </si>
  <si>
    <t xml:space="preserve">Validação rejeita narrativas válidas ou aceita inválidas.</t>
  </si>
  <si>
    <t xml:space="preserve">Arquitetura</t>
  </si>
  <si>
    <t xml:space="preserve">METRICS = {} no module load — qualquer import antes de main() causa KeyError.</t>
  </si>
  <si>
    <t xml:space="preserve">32-33</t>
  </si>
  <si>
    <t xml:space="preserve">Script não pode ser importado como módulo nem testado unitariamente.</t>
  </si>
  <si>
    <t xml:space="preserve">Portabilidade</t>
  </si>
  <si>
    <t xml:space="preserve">get_sp_time() usa %-d que falha no Windows. Tradução inglês→PT de meses por replace é frágil.</t>
  </si>
  <si>
    <t xml:space="preserve">233-241</t>
  </si>
  <si>
    <t xml:space="preserve">Script falha silenciosamente em Windows; meses podem não ser traduzidos.</t>
  </si>
  <si>
    <t xml:space="preserve">Taxa de câmbio 5.0 BRL/USD hardcodada. Taxas CDI/Selic hardcodadas em 11.5% com TODO.</t>
  </si>
  <si>
    <t xml:space="preserve">503-504, 671, 703</t>
  </si>
  <si>
    <t xml:space="preserve">Valores financeiros do relatório ficam desatualizados imediatamente.</t>
  </si>
  <si>
    <t xml:space="preserve">Validações V10-V17 marcadas passed=True mas nunca executadas (dead code).</t>
  </si>
  <si>
    <t xml:space="preserve">1880-1920</t>
  </si>
  <si>
    <t xml:space="preserve">Falsa confiança na validação — erros nesses checks nunca são detectados.</t>
  </si>
  <si>
    <t xml:space="preserve">validate_report() não impede output de HTML quebrado. Falha de validação não seta exit code.</t>
  </si>
  <si>
    <t xml:space="preserve">1796-1800</t>
  </si>
  <si>
    <t xml:space="preserve">Relatório com problemas é gerado e entregue como se estivesse correto.</t>
  </si>
  <si>
    <t xml:space="preserve">_find_report() retorna path não-existente como fallback. open() crashará com FileNotFoundError.</t>
  </si>
  <si>
    <t xml:space="preserve">33</t>
  </si>
  <si>
    <t xml:space="preserve">Script crashia se nenhum relatorio_*.html existe.</t>
  </si>
  <si>
    <t xml:space="preserve">Remoção de CSS dark mode remove apenas primeira linha de regras multi-linha. Resultado: CSS quebrado com { e } soltos.</t>
  </si>
  <si>
    <t xml:space="preserve">166-169</t>
  </si>
  <si>
    <t xml:space="preserve">HTML renderiza com estilos quebrados — layout visual corrompido.</t>
  </si>
  <si>
    <t xml:space="preserve">Versão hardcodada como 'v3.0' ao invés de extraída do manual.</t>
  </si>
  <si>
    <t xml:space="preserve">69-72</t>
  </si>
  <si>
    <t xml:space="preserve">Relatório mostra versão errada se manual_operacao muda de versão.</t>
  </si>
  <si>
    <t xml:space="preserve">Múltiplos regex com count=1 que podem dar match 0. Nenhum verifica se substituição realmente ocorreu.</t>
  </si>
  <si>
    <t xml:space="preserve">84-97, 306-310</t>
  </si>
  <si>
    <t xml:space="preserve">Transformações silenciosamente falham — output parece correto mas não foi modificado.</t>
  </si>
  <si>
    <t xml:space="preserve">BASE_DIR aponta para sessão inexistente ('/sessions/blissful-inspiring-newton/'). Toda extração é non-functional.</t>
  </si>
  <si>
    <t xml:space="preserve">15</t>
  </si>
  <si>
    <t xml:space="preserve">100% dos statements falham — script completamente quebrado.</t>
  </si>
  <si>
    <t xml:space="preserve">Mesmo problema de BASE_DIR apontando para sessão errada.</t>
  </si>
  <si>
    <t xml:space="preserve">14</t>
  </si>
  <si>
    <t xml:space="preserve">Script completamente não-funcional.</t>
  </si>
  <si>
    <t xml:space="preserve">Valores de saldo final hardcodados em cada função de extração (ex: 6930.11). Não calculados das transações.</t>
  </si>
  <si>
    <t xml:space="preserve">128-129+</t>
  </si>
  <si>
    <t xml:space="preserve">Saldos nunca refletem dados reais. Reconciliação downstream sempre falha.</t>
  </si>
  <si>
    <t xml:space="preserve">Lista de fontes PJ completamente hardcodada sem validação contra dados reais.</t>
  </si>
  <si>
    <t xml:space="preserve">35</t>
  </si>
  <si>
    <t xml:space="preserve">Fontes novas são silenciosamente classificadas como 'CLT + Alugueis'.</t>
  </si>
  <si>
    <t xml:space="preserve">Nenhum try-catch em json.load(). Arquivo inexistente ou JSON malformado crashia sem contexto.</t>
  </si>
  <si>
    <t xml:space="preserve">19-23</t>
  </si>
  <si>
    <t xml:space="preserve">Script crashia com erro genérico se E4 outputs estão ausentes.</t>
  </si>
  <si>
    <t xml:space="preserve">Prioridade</t>
  </si>
  <si>
    <t xml:space="preserve">Script(s)</t>
  </si>
  <si>
    <t xml:space="preserve">Ação Recomendada</t>
  </si>
  <si>
    <t xml:space="preserve">Tipo</t>
  </si>
  <si>
    <t xml:space="preserve">Esforço</t>
  </si>
  <si>
    <t xml:space="preserve">P0 — Blocker</t>
  </si>
  <si>
    <t xml:space="preserve">extract_statements*.py</t>
  </si>
  <si>
    <t xml:space="preserve">Corrigir BASE_DIR hardcodado para sessão errada — scripts 100% non-functional.</t>
  </si>
  <si>
    <t xml:space="preserve">Fix</t>
  </si>
  <si>
    <t xml:space="preserve">5 min</t>
  </si>
  <si>
    <t xml:space="preserve">Remover 'kiwify' de ONE_TIME_INCOME_KEYWORDS (é CLT, não one-time). Alinha com memória do projeto.</t>
  </si>
  <si>
    <t xml:space="preserve">Externalizar aporte_mensal e retorno_real_anual para config/tarefas.md. Nunca hardcodar premissas de IF.</t>
  </si>
  <si>
    <t xml:space="preserve">Refactor</t>
  </si>
  <si>
    <t xml:space="preserve">30 min</t>
  </si>
  <si>
    <t xml:space="preserve">Remover log de caracteres de senha (linha 99). Adicionar backup antes de replace de PDF.</t>
  </si>
  <si>
    <t xml:space="preserve">Fix+Safety</t>
  </si>
  <si>
    <t xml:space="preserve">15 min</t>
  </si>
  <si>
    <t xml:space="preserve">P1 — Urgente</t>
  </si>
  <si>
    <t xml:space="preserve">Corrigir lógica de dedup: manter uma ocorrência por source file, não 'max count'. Lógica atual é arbitrária.</t>
  </si>
  <si>
    <t xml:space="preserve">1h</t>
  </si>
  <si>
    <t xml:space="preserve">Mudar sort de transações para usar datetime parseado, não string comparison.</t>
  </si>
  <si>
    <t xml:space="preserve">Substituir TODOS os valores hardcodados por referências a METRICS[]. Criar METRICS keys faltantes em e5_analyze.</t>
  </si>
  <si>
    <t xml:space="preserve">4h</t>
  </si>
  <si>
    <t xml:space="preserve">Corrigir wildcard matching: remover 'or pattern in norm_desc' para evitar matching overly greedy.</t>
  </si>
  <si>
    <t xml:space="preserve">Adicionar campos obrigatórios na validação E4 (atualmente lista vazia = zero validação).</t>
  </si>
  <si>
    <t xml:space="preserve">Adicionar guard: investivel = max(0, investivel) e validar &lt; bruto.</t>
  </si>
  <si>
    <t xml:space="preserve">P2 — Alto</t>
  </si>
  <si>
    <t xml:space="preserve">Corrigir remoção de CSS dark mode para lidar com regras multi-linha. Verificar se regex fez match.</t>
  </si>
  <si>
    <t xml:space="preserve">Mover CDI/Selic/câmbio para config file ou API. Remover TODOs de produção.</t>
  </si>
  <si>
    <t xml:space="preserve">Unificar regex de nome do titular entre parsers. Usar config ao invés de hardcode por banco.</t>
  </si>
  <si>
    <t xml:space="preserve">2h</t>
  </si>
  <si>
    <t xml:space="preserve">Corrigir tombstone logic: diferenciar 'zero transações' (legítimo) de 'campo ausente' (erro).</t>
  </si>
  <si>
    <t xml:space="preserve">Adicionar warning quando moeda default BRL é usada. Validar que contas USD/EUR não são confladas.</t>
  </si>
  <si>
    <t xml:space="preserve">Trocar 'git diff HEAD' por 'git diff --cached'. Detectar locale do git para 'nothing to commit'.</t>
  </si>
  <si>
    <t xml:space="preserve">P3 — Médio</t>
  </si>
  <si>
    <t xml:space="preserve">Converter comparação de períodos para inteiros. Corrigir condição tipo_parts na linha 71.</t>
  </si>
  <si>
    <t xml:space="preserve">Mover score interpolation ranges para config file com justificativa documentada.</t>
  </si>
  <si>
    <t xml:space="preserve">Substituir bare except: por except (ValueError, TypeError) com logging.</t>
  </si>
  <si>
    <t xml:space="preserve">Ativar validações V10-V17 (dead code) ou remover. Fazer validate_report() bloquear output.</t>
  </si>
  <si>
    <t xml:space="preserve">Categoria de Risco</t>
  </si>
  <si>
    <t xml:space="preserve">Ocorrências</t>
  </si>
  <si>
    <t xml:space="preserve">Scripts Afetados</t>
  </si>
  <si>
    <t xml:space="preserve">Valores Hardcodados</t>
  </si>
  <si>
    <t xml:space="preserve">e5_analyze, e5n_narrativas, e6_render, e2_extract, analyze_e4, extract_statements</t>
  </si>
  <si>
    <t xml:space="preserve">Premissas financeiras (IF, câmbio, juros, salários, metas) embutidas no código ao invés de config files. Maior categoria de risco do pipeline.</t>
  </si>
  <si>
    <t xml:space="preserve">Falhas Silenciosas</t>
  </si>
  <si>
    <t xml:space="preserve">e3_reconcile, e4_categorize, e0_audit, e0_unlock, e_reset</t>
  </si>
  <si>
    <t xml:space="preserve">Erros que não geram exceção nem warning: saldo None→0, moeda default BRL, arquivos skippados sem contagem, validação vazia.</t>
  </si>
  <si>
    <t xml:space="preserve">Regex Frágil</t>
  </si>
  <si>
    <t xml:space="preserve">e2_extract, e5_analyze, e5n_narrativas, e6_regen</t>
  </si>
  <si>
    <t xml:space="preserve">Regex para nomes, datas, valores monetários e estrutura HTML que quebram com variações de formato, whitespace ou locale.</t>
  </si>
  <si>
    <t xml:space="preserve">Lógica de Edge Case</t>
  </si>
  <si>
    <t xml:space="preserve">e3_reconcile, e4_categorize, e2_extract, e_save</t>
  </si>
  <si>
    <t xml:space="preserve">Dedup por max count, wildcard matching greedy, sort por string, year resolution em virada de ano, zero tratado como falsy.</t>
  </si>
  <si>
    <t xml:space="preserve">e0_unlock, e_save</t>
  </si>
  <si>
    <t xml:space="preserve">Senhas parcialmente logadas, passwords.txt sem check de permissão, git push hardcodado sem verificar branch.</t>
  </si>
  <si>
    <t xml:space="preserve">e6_render, e_save</t>
  </si>
  <si>
    <t xml:space="preserve">Formatação de data dependente de OS (%-d no Windows), locale-dependent git messages, Unicode em terminais non-UTF8.</t>
  </si>
  <si>
    <t xml:space="preserve">Dead Code / Legacy</t>
  </si>
  <si>
    <t xml:space="preserve">extract_statements, extract_statements_v2, e6_render</t>
  </si>
  <si>
    <t xml:space="preserve">Scripts com paths de sessão errada (non-functional), validações marcadas pass=True sem executar, saldos hardcodados.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</si>
</sst>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FFE0B2"/>
      </patternFill>
    </fill>
    <fill>
      <patternFill patternType="solid">
        <fgColor rgb="FFFFE0B2"/>
        <bgColor rgb="FFFFF9C4"/>
      </patternFill>
    </fill>
    <fill>
      <patternFill patternType="solid">
        <fgColor rgb="FFFFF9C4"/>
        <bgColor rgb="FFFFFF99"/>
      </patternFill>
    </fill>
    <fill>
      <patternFill patternType="solid">
        <fgColor rgb="FFC8E6C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3</v>
      </c>
      <c r="C2" s="4" t="n">
        <v>5</v>
      </c>
      <c r="D2" s="5" t="n">
        <v>3</v>
      </c>
      <c r="E2" s="6" t="n">
        <v>0</v>
      </c>
      <c r="F2" s="6" t="n">
        <v>11</v>
      </c>
    </row>
    <row r="3" customFormat="false" ht="15" hidden="false" customHeight="false" outlineLevel="0" collapsed="false">
      <c r="A3" s="2" t="s">
        <v>7</v>
      </c>
      <c r="B3" s="3" t="n">
        <v>2</v>
      </c>
      <c r="C3" s="4" t="n">
        <v>4</v>
      </c>
      <c r="D3" s="5" t="n">
        <v>4</v>
      </c>
      <c r="E3" s="7" t="n">
        <v>2</v>
      </c>
      <c r="F3" s="6" t="n">
        <v>12</v>
      </c>
    </row>
    <row r="4" customFormat="false" ht="15" hidden="false" customHeight="false" outlineLevel="0" collapsed="false">
      <c r="A4" s="2" t="s">
        <v>8</v>
      </c>
      <c r="B4" s="3" t="n">
        <v>4</v>
      </c>
      <c r="C4" s="4" t="n">
        <v>6</v>
      </c>
      <c r="D4" s="5" t="n">
        <v>3</v>
      </c>
      <c r="E4" s="7" t="n">
        <v>3</v>
      </c>
      <c r="F4" s="6" t="n">
        <v>16</v>
      </c>
    </row>
    <row r="5" customFormat="false" ht="15" hidden="false" customHeight="false" outlineLevel="0" collapsed="false">
      <c r="A5" s="2" t="s">
        <v>9</v>
      </c>
      <c r="B5" s="3" t="n">
        <v>6</v>
      </c>
      <c r="C5" s="4" t="n">
        <v>6</v>
      </c>
      <c r="D5" s="5" t="n">
        <v>5</v>
      </c>
      <c r="E5" s="7" t="n">
        <v>4</v>
      </c>
      <c r="F5" s="6" t="n">
        <v>21</v>
      </c>
    </row>
    <row r="6" customFormat="false" ht="15" hidden="false" customHeight="false" outlineLevel="0" collapsed="false">
      <c r="A6" s="2" t="s">
        <v>10</v>
      </c>
      <c r="B6" s="3" t="n">
        <v>4</v>
      </c>
      <c r="C6" s="4" t="n">
        <v>4</v>
      </c>
      <c r="D6" s="5" t="n">
        <v>8</v>
      </c>
      <c r="E6" s="7" t="n">
        <v>4</v>
      </c>
      <c r="F6" s="6" t="n">
        <v>20</v>
      </c>
    </row>
    <row r="7" customFormat="false" ht="15" hidden="false" customHeight="false" outlineLevel="0" collapsed="false">
      <c r="A7" s="2" t="s">
        <v>11</v>
      </c>
      <c r="B7" s="3" t="n">
        <v>3</v>
      </c>
      <c r="C7" s="4" t="n">
        <v>5</v>
      </c>
      <c r="D7" s="5" t="n">
        <v>5</v>
      </c>
      <c r="E7" s="7" t="n">
        <v>4</v>
      </c>
      <c r="F7" s="6" t="n">
        <v>17</v>
      </c>
    </row>
    <row r="8" customFormat="false" ht="15" hidden="false" customHeight="false" outlineLevel="0" collapsed="false">
      <c r="A8" s="2" t="s">
        <v>12</v>
      </c>
      <c r="B8" s="3" t="n">
        <v>6</v>
      </c>
      <c r="C8" s="4" t="n">
        <v>6</v>
      </c>
      <c r="D8" s="5" t="n">
        <v>8</v>
      </c>
      <c r="E8" s="7" t="n">
        <v>5</v>
      </c>
      <c r="F8" s="6" t="n">
        <v>25</v>
      </c>
    </row>
    <row r="9" customFormat="false" ht="15" hidden="false" customHeight="false" outlineLevel="0" collapsed="false">
      <c r="A9" s="2" t="s">
        <v>13</v>
      </c>
      <c r="B9" s="3" t="n">
        <v>8</v>
      </c>
      <c r="C9" s="4" t="n">
        <v>7</v>
      </c>
      <c r="D9" s="5" t="n">
        <v>7</v>
      </c>
      <c r="E9" s="7" t="n">
        <v>2</v>
      </c>
      <c r="F9" s="6" t="n">
        <v>24</v>
      </c>
    </row>
    <row r="10" customFormat="false" ht="15" hidden="false" customHeight="false" outlineLevel="0" collapsed="false">
      <c r="A10" s="2" t="s">
        <v>14</v>
      </c>
      <c r="B10" s="3" t="n">
        <v>9</v>
      </c>
      <c r="C10" s="4" t="n">
        <v>4</v>
      </c>
      <c r="D10" s="5" t="n">
        <v>7</v>
      </c>
      <c r="E10" s="7" t="n">
        <v>2</v>
      </c>
      <c r="F10" s="6" t="n">
        <v>22</v>
      </c>
    </row>
    <row r="11" customFormat="false" ht="15" hidden="false" customHeight="false" outlineLevel="0" collapsed="false">
      <c r="A11" s="2" t="s">
        <v>15</v>
      </c>
      <c r="B11" s="3" t="n">
        <v>6</v>
      </c>
      <c r="C11" s="4" t="n">
        <v>5</v>
      </c>
      <c r="D11" s="5" t="n">
        <v>5</v>
      </c>
      <c r="E11" s="6" t="n">
        <v>0</v>
      </c>
      <c r="F11" s="6" t="n">
        <v>16</v>
      </c>
    </row>
    <row r="12" customFormat="false" ht="15" hidden="false" customHeight="false" outlineLevel="0" collapsed="false">
      <c r="A12" s="2" t="s">
        <v>16</v>
      </c>
      <c r="B12" s="3" t="n">
        <v>10</v>
      </c>
      <c r="C12" s="4" t="n">
        <v>5</v>
      </c>
      <c r="D12" s="5" t="n">
        <v>5</v>
      </c>
      <c r="E12" s="6" t="n">
        <v>0</v>
      </c>
      <c r="F12" s="6" t="n">
        <v>20</v>
      </c>
    </row>
    <row r="13" customFormat="false" ht="15" hidden="false" customHeight="false" outlineLevel="0" collapsed="false">
      <c r="A13" s="2" t="s">
        <v>17</v>
      </c>
      <c r="B13" s="3" t="n">
        <v>5</v>
      </c>
      <c r="C13" s="4" t="n">
        <v>3</v>
      </c>
      <c r="D13" s="5" t="n">
        <v>4</v>
      </c>
      <c r="E13" s="7" t="n">
        <v>3</v>
      </c>
      <c r="F13" s="6" t="n">
        <v>15</v>
      </c>
    </row>
    <row r="14" customFormat="false" ht="15" hidden="false" customHeight="false" outlineLevel="0" collapsed="false">
      <c r="A14" s="2" t="s">
        <v>18</v>
      </c>
      <c r="B14" s="3" t="n">
        <v>5</v>
      </c>
      <c r="C14" s="4" t="n">
        <v>4</v>
      </c>
      <c r="D14" s="5" t="n">
        <v>3</v>
      </c>
      <c r="E14" s="7" t="n">
        <v>1</v>
      </c>
      <c r="F14" s="6" t="n">
        <v>13</v>
      </c>
    </row>
    <row r="15" customFormat="false" ht="15" hidden="false" customHeight="false" outlineLevel="0" collapsed="false">
      <c r="A15" s="2" t="s">
        <v>19</v>
      </c>
      <c r="B15" s="3" t="n">
        <v>5</v>
      </c>
      <c r="C15" s="4" t="n">
        <v>3</v>
      </c>
      <c r="D15" s="5" t="n">
        <v>4</v>
      </c>
      <c r="E15" s="7" t="n">
        <v>3</v>
      </c>
      <c r="F15" s="6" t="n">
        <v>15</v>
      </c>
    </row>
    <row r="16" customFormat="false" ht="15" hidden="false" customHeight="false" outlineLevel="0" collapsed="false">
      <c r="A16" s="8" t="s">
        <v>5</v>
      </c>
      <c r="B16" s="9" t="n">
        <f aca="false">SUM(B2:B15)</f>
        <v>76</v>
      </c>
      <c r="C16" s="10" t="n">
        <f aca="false">SUM(C2:C15)</f>
        <v>67</v>
      </c>
      <c r="D16" s="11" t="n">
        <f aca="false">SUM(D2:D15)</f>
        <v>71</v>
      </c>
      <c r="E16" s="12" t="n">
        <f aca="false">SUM(E2:E15)</f>
        <v>33</v>
      </c>
      <c r="F16" s="13" t="n">
        <f aca="false">SUM(F2:F15)</f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20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customFormat="false" ht="22.35" hidden="false" customHeight="false" outlineLevel="0" collapsed="false">
      <c r="A2" s="14" t="n">
        <v>1</v>
      </c>
      <c r="B2" s="14" t="s">
        <v>6</v>
      </c>
      <c r="C2" s="14" t="s">
        <v>1</v>
      </c>
      <c r="D2" s="14" t="s">
        <v>26</v>
      </c>
      <c r="E2" s="14" t="s">
        <v>27</v>
      </c>
      <c r="F2" s="14" t="s">
        <v>28</v>
      </c>
      <c r="G2" s="14" t="s">
        <v>29</v>
      </c>
    </row>
    <row r="3" customFormat="false" ht="22.35" hidden="false" customHeight="false" outlineLevel="0" collapsed="false">
      <c r="A3" s="14" t="n">
        <v>2</v>
      </c>
      <c r="B3" s="14" t="s">
        <v>6</v>
      </c>
      <c r="C3" s="14" t="s">
        <v>1</v>
      </c>
      <c r="D3" s="14" t="s">
        <v>30</v>
      </c>
      <c r="E3" s="14" t="s">
        <v>31</v>
      </c>
      <c r="F3" s="14" t="s">
        <v>32</v>
      </c>
      <c r="G3" s="14" t="s">
        <v>33</v>
      </c>
    </row>
    <row r="4" customFormat="false" ht="22.35" hidden="false" customHeight="false" outlineLevel="0" collapsed="false">
      <c r="A4" s="14" t="n">
        <v>3</v>
      </c>
      <c r="B4" s="14" t="s">
        <v>6</v>
      </c>
      <c r="C4" s="14" t="s">
        <v>1</v>
      </c>
      <c r="D4" s="14" t="s">
        <v>34</v>
      </c>
      <c r="E4" s="14" t="s">
        <v>35</v>
      </c>
      <c r="F4" s="14" t="s">
        <v>36</v>
      </c>
      <c r="G4" s="14" t="s">
        <v>37</v>
      </c>
    </row>
    <row r="5" customFormat="false" ht="22.35" hidden="false" customHeight="false" outlineLevel="0" collapsed="false">
      <c r="A5" s="15" t="n">
        <v>4</v>
      </c>
      <c r="B5" s="15" t="s">
        <v>6</v>
      </c>
      <c r="C5" s="15" t="s">
        <v>2</v>
      </c>
      <c r="D5" s="15" t="s">
        <v>30</v>
      </c>
      <c r="E5" s="15" t="s">
        <v>38</v>
      </c>
      <c r="F5" s="15" t="s">
        <v>39</v>
      </c>
      <c r="G5" s="15" t="s">
        <v>40</v>
      </c>
    </row>
    <row r="6" customFormat="false" ht="22.35" hidden="false" customHeight="false" outlineLevel="0" collapsed="false">
      <c r="A6" s="15" t="n">
        <v>5</v>
      </c>
      <c r="B6" s="15" t="s">
        <v>6</v>
      </c>
      <c r="C6" s="15" t="s">
        <v>2</v>
      </c>
      <c r="D6" s="15" t="s">
        <v>41</v>
      </c>
      <c r="E6" s="15" t="s">
        <v>42</v>
      </c>
      <c r="F6" s="15" t="s">
        <v>43</v>
      </c>
      <c r="G6" s="15" t="s">
        <v>44</v>
      </c>
    </row>
    <row r="7" customFormat="false" ht="15" hidden="false" customHeight="false" outlineLevel="0" collapsed="false">
      <c r="A7" s="15" t="n">
        <v>6</v>
      </c>
      <c r="B7" s="15" t="s">
        <v>6</v>
      </c>
      <c r="C7" s="15" t="s">
        <v>2</v>
      </c>
      <c r="D7" s="15" t="s">
        <v>45</v>
      </c>
      <c r="E7" s="15" t="s">
        <v>46</v>
      </c>
      <c r="F7" s="15" t="s">
        <v>47</v>
      </c>
      <c r="G7" s="15" t="s">
        <v>48</v>
      </c>
    </row>
    <row r="8" customFormat="false" ht="22.35" hidden="false" customHeight="false" outlineLevel="0" collapsed="false">
      <c r="A8" s="14" t="n">
        <v>7</v>
      </c>
      <c r="B8" s="14" t="s">
        <v>7</v>
      </c>
      <c r="C8" s="14" t="s">
        <v>1</v>
      </c>
      <c r="D8" s="14" t="s">
        <v>26</v>
      </c>
      <c r="E8" s="14" t="s">
        <v>49</v>
      </c>
      <c r="F8" s="14" t="s">
        <v>50</v>
      </c>
      <c r="G8" s="14" t="s">
        <v>51</v>
      </c>
    </row>
    <row r="9" customFormat="false" ht="22.35" hidden="false" customHeight="false" outlineLevel="0" collapsed="false">
      <c r="A9" s="14" t="n">
        <v>8</v>
      </c>
      <c r="B9" s="14" t="s">
        <v>7</v>
      </c>
      <c r="C9" s="14" t="s">
        <v>1</v>
      </c>
      <c r="D9" s="14" t="s">
        <v>52</v>
      </c>
      <c r="E9" s="14" t="s">
        <v>53</v>
      </c>
      <c r="F9" s="14" t="s">
        <v>54</v>
      </c>
      <c r="G9" s="14" t="s">
        <v>55</v>
      </c>
    </row>
    <row r="10" customFormat="false" ht="15" hidden="false" customHeight="false" outlineLevel="0" collapsed="false">
      <c r="A10" s="15" t="n">
        <v>9</v>
      </c>
      <c r="B10" s="15" t="s">
        <v>7</v>
      </c>
      <c r="C10" s="15" t="s">
        <v>2</v>
      </c>
      <c r="D10" s="15" t="s">
        <v>56</v>
      </c>
      <c r="E10" s="15" t="s">
        <v>57</v>
      </c>
      <c r="F10" s="15" t="s">
        <v>58</v>
      </c>
      <c r="G10" s="15" t="s">
        <v>59</v>
      </c>
    </row>
    <row r="11" customFormat="false" ht="22.35" hidden="false" customHeight="false" outlineLevel="0" collapsed="false">
      <c r="A11" s="15" t="n">
        <v>10</v>
      </c>
      <c r="B11" s="15" t="s">
        <v>7</v>
      </c>
      <c r="C11" s="15" t="s">
        <v>2</v>
      </c>
      <c r="D11" s="15" t="s">
        <v>60</v>
      </c>
      <c r="E11" s="15" t="s">
        <v>61</v>
      </c>
      <c r="F11" s="15" t="s">
        <v>62</v>
      </c>
      <c r="G11" s="15" t="s">
        <v>63</v>
      </c>
    </row>
    <row r="12" customFormat="false" ht="22.35" hidden="false" customHeight="false" outlineLevel="0" collapsed="false">
      <c r="A12" s="14" t="n">
        <v>11</v>
      </c>
      <c r="B12" s="14" t="s">
        <v>8</v>
      </c>
      <c r="C12" s="14" t="s">
        <v>1</v>
      </c>
      <c r="D12" s="14" t="s">
        <v>26</v>
      </c>
      <c r="E12" s="14" t="s">
        <v>64</v>
      </c>
      <c r="F12" s="14" t="s">
        <v>65</v>
      </c>
      <c r="G12" s="14" t="s">
        <v>66</v>
      </c>
    </row>
    <row r="13" customFormat="false" ht="22.35" hidden="false" customHeight="false" outlineLevel="0" collapsed="false">
      <c r="A13" s="14" t="n">
        <v>12</v>
      </c>
      <c r="B13" s="14" t="s">
        <v>8</v>
      </c>
      <c r="C13" s="14" t="s">
        <v>1</v>
      </c>
      <c r="D13" s="14" t="s">
        <v>26</v>
      </c>
      <c r="E13" s="14" t="s">
        <v>67</v>
      </c>
      <c r="F13" s="14" t="s">
        <v>68</v>
      </c>
      <c r="G13" s="14" t="s">
        <v>69</v>
      </c>
    </row>
    <row r="14" customFormat="false" ht="22.35" hidden="false" customHeight="false" outlineLevel="0" collapsed="false">
      <c r="A14" s="14" t="n">
        <v>13</v>
      </c>
      <c r="B14" s="14" t="s">
        <v>8</v>
      </c>
      <c r="C14" s="14" t="s">
        <v>1</v>
      </c>
      <c r="D14" s="14" t="s">
        <v>70</v>
      </c>
      <c r="E14" s="14" t="s">
        <v>71</v>
      </c>
      <c r="F14" s="14" t="s">
        <v>72</v>
      </c>
      <c r="G14" s="14" t="s">
        <v>73</v>
      </c>
    </row>
    <row r="15" customFormat="false" ht="22.35" hidden="false" customHeight="false" outlineLevel="0" collapsed="false">
      <c r="A15" s="15" t="n">
        <v>14</v>
      </c>
      <c r="B15" s="15" t="s">
        <v>8</v>
      </c>
      <c r="C15" s="15" t="s">
        <v>2</v>
      </c>
      <c r="D15" s="15" t="s">
        <v>45</v>
      </c>
      <c r="E15" s="15" t="s">
        <v>74</v>
      </c>
      <c r="F15" s="15" t="s">
        <v>75</v>
      </c>
      <c r="G15" s="15" t="s">
        <v>76</v>
      </c>
    </row>
    <row r="16" customFormat="false" ht="22.35" hidden="false" customHeight="false" outlineLevel="0" collapsed="false">
      <c r="A16" s="14" t="n">
        <v>15</v>
      </c>
      <c r="B16" s="14" t="s">
        <v>9</v>
      </c>
      <c r="C16" s="14" t="s">
        <v>1</v>
      </c>
      <c r="D16" s="14" t="s">
        <v>77</v>
      </c>
      <c r="E16" s="14" t="s">
        <v>78</v>
      </c>
      <c r="F16" s="14" t="s">
        <v>79</v>
      </c>
      <c r="G16" s="14" t="s">
        <v>80</v>
      </c>
    </row>
    <row r="17" customFormat="false" ht="22.35" hidden="false" customHeight="false" outlineLevel="0" collapsed="false">
      <c r="A17" s="14" t="n">
        <v>16</v>
      </c>
      <c r="B17" s="14" t="s">
        <v>9</v>
      </c>
      <c r="C17" s="14" t="s">
        <v>1</v>
      </c>
      <c r="D17" s="14" t="s">
        <v>81</v>
      </c>
      <c r="E17" s="14" t="s">
        <v>82</v>
      </c>
      <c r="F17" s="14" t="s">
        <v>83</v>
      </c>
      <c r="G17" s="14" t="s">
        <v>84</v>
      </c>
    </row>
    <row r="18" customFormat="false" ht="22.35" hidden="false" customHeight="false" outlineLevel="0" collapsed="false">
      <c r="A18" s="14" t="n">
        <v>17</v>
      </c>
      <c r="B18" s="14" t="s">
        <v>9</v>
      </c>
      <c r="C18" s="14" t="s">
        <v>1</v>
      </c>
      <c r="D18" s="14" t="s">
        <v>41</v>
      </c>
      <c r="E18" s="14" t="s">
        <v>85</v>
      </c>
      <c r="F18" s="14" t="s">
        <v>86</v>
      </c>
      <c r="G18" s="14" t="s">
        <v>87</v>
      </c>
    </row>
    <row r="19" customFormat="false" ht="22.35" hidden="false" customHeight="false" outlineLevel="0" collapsed="false">
      <c r="A19" s="15" t="n">
        <v>18</v>
      </c>
      <c r="B19" s="15" t="s">
        <v>9</v>
      </c>
      <c r="C19" s="15" t="s">
        <v>2</v>
      </c>
      <c r="D19" s="15" t="s">
        <v>70</v>
      </c>
      <c r="E19" s="15" t="s">
        <v>88</v>
      </c>
      <c r="F19" s="15" t="s">
        <v>89</v>
      </c>
      <c r="G19" s="15" t="s">
        <v>90</v>
      </c>
    </row>
    <row r="20" customFormat="false" ht="15" hidden="false" customHeight="false" outlineLevel="0" collapsed="false">
      <c r="A20" s="15" t="n">
        <v>19</v>
      </c>
      <c r="B20" s="15" t="s">
        <v>9</v>
      </c>
      <c r="C20" s="15" t="s">
        <v>2</v>
      </c>
      <c r="D20" s="15" t="s">
        <v>77</v>
      </c>
      <c r="E20" s="15" t="s">
        <v>91</v>
      </c>
      <c r="F20" s="15" t="s">
        <v>92</v>
      </c>
      <c r="G20" s="15" t="s">
        <v>93</v>
      </c>
    </row>
    <row r="21" customFormat="false" ht="22.35" hidden="false" customHeight="false" outlineLevel="0" collapsed="false">
      <c r="A21" s="14" t="n">
        <v>20</v>
      </c>
      <c r="B21" s="14" t="s">
        <v>10</v>
      </c>
      <c r="C21" s="14" t="s">
        <v>1</v>
      </c>
      <c r="D21" s="14" t="s">
        <v>70</v>
      </c>
      <c r="E21" s="14" t="s">
        <v>94</v>
      </c>
      <c r="F21" s="14" t="s">
        <v>95</v>
      </c>
      <c r="G21" s="14" t="s">
        <v>96</v>
      </c>
    </row>
    <row r="22" customFormat="false" ht="22.35" hidden="false" customHeight="false" outlineLevel="0" collapsed="false">
      <c r="A22" s="14" t="n">
        <v>21</v>
      </c>
      <c r="B22" s="14" t="s">
        <v>10</v>
      </c>
      <c r="C22" s="14" t="s">
        <v>1</v>
      </c>
      <c r="D22" s="14" t="s">
        <v>26</v>
      </c>
      <c r="E22" s="14" t="s">
        <v>97</v>
      </c>
      <c r="F22" s="14" t="s">
        <v>98</v>
      </c>
      <c r="G22" s="14" t="s">
        <v>99</v>
      </c>
    </row>
    <row r="23" customFormat="false" ht="22.35" hidden="false" customHeight="false" outlineLevel="0" collapsed="false">
      <c r="A23" s="14" t="n">
        <v>22</v>
      </c>
      <c r="B23" s="14" t="s">
        <v>10</v>
      </c>
      <c r="C23" s="14" t="s">
        <v>1</v>
      </c>
      <c r="D23" s="14" t="s">
        <v>56</v>
      </c>
      <c r="E23" s="14" t="s">
        <v>100</v>
      </c>
      <c r="F23" s="14" t="s">
        <v>101</v>
      </c>
      <c r="G23" s="14" t="s">
        <v>102</v>
      </c>
    </row>
    <row r="24" customFormat="false" ht="15" hidden="false" customHeight="false" outlineLevel="0" collapsed="false">
      <c r="A24" s="15" t="n">
        <v>23</v>
      </c>
      <c r="B24" s="15" t="s">
        <v>10</v>
      </c>
      <c r="C24" s="15" t="s">
        <v>2</v>
      </c>
      <c r="D24" s="15" t="s">
        <v>45</v>
      </c>
      <c r="E24" s="15" t="s">
        <v>103</v>
      </c>
      <c r="F24" s="15" t="s">
        <v>104</v>
      </c>
      <c r="G24" s="15" t="s">
        <v>105</v>
      </c>
    </row>
    <row r="25" customFormat="false" ht="22.35" hidden="false" customHeight="false" outlineLevel="0" collapsed="false">
      <c r="A25" s="14" t="n">
        <v>24</v>
      </c>
      <c r="B25" s="14" t="s">
        <v>11</v>
      </c>
      <c r="C25" s="14" t="s">
        <v>1</v>
      </c>
      <c r="D25" s="14" t="s">
        <v>26</v>
      </c>
      <c r="E25" s="14" t="s">
        <v>106</v>
      </c>
      <c r="F25" s="14" t="s">
        <v>107</v>
      </c>
      <c r="G25" s="14" t="s">
        <v>108</v>
      </c>
    </row>
    <row r="26" customFormat="false" ht="22.35" hidden="false" customHeight="false" outlineLevel="0" collapsed="false">
      <c r="A26" s="14" t="n">
        <v>25</v>
      </c>
      <c r="B26" s="14" t="s">
        <v>11</v>
      </c>
      <c r="C26" s="14" t="s">
        <v>1</v>
      </c>
      <c r="D26" s="14" t="s">
        <v>30</v>
      </c>
      <c r="E26" s="14" t="s">
        <v>109</v>
      </c>
      <c r="F26" s="14" t="s">
        <v>110</v>
      </c>
      <c r="G26" s="14" t="s">
        <v>111</v>
      </c>
    </row>
    <row r="27" customFormat="false" ht="22.35" hidden="false" customHeight="false" outlineLevel="0" collapsed="false">
      <c r="A27" s="14" t="n">
        <v>26</v>
      </c>
      <c r="B27" s="14" t="s">
        <v>11</v>
      </c>
      <c r="C27" s="14" t="s">
        <v>1</v>
      </c>
      <c r="D27" s="14" t="s">
        <v>45</v>
      </c>
      <c r="E27" s="14" t="s">
        <v>112</v>
      </c>
      <c r="F27" s="14" t="s">
        <v>113</v>
      </c>
      <c r="G27" s="14" t="s">
        <v>114</v>
      </c>
    </row>
    <row r="28" customFormat="false" ht="22.35" hidden="false" customHeight="false" outlineLevel="0" collapsed="false">
      <c r="A28" s="15" t="n">
        <v>27</v>
      </c>
      <c r="B28" s="15" t="s">
        <v>11</v>
      </c>
      <c r="C28" s="15" t="s">
        <v>2</v>
      </c>
      <c r="D28" s="15" t="s">
        <v>45</v>
      </c>
      <c r="E28" s="15" t="s">
        <v>115</v>
      </c>
      <c r="F28" s="15" t="s">
        <v>116</v>
      </c>
      <c r="G28" s="15" t="s">
        <v>117</v>
      </c>
    </row>
    <row r="29" customFormat="false" ht="15" hidden="false" customHeight="false" outlineLevel="0" collapsed="false">
      <c r="A29" s="15" t="n">
        <v>28</v>
      </c>
      <c r="B29" s="15" t="s">
        <v>11</v>
      </c>
      <c r="C29" s="15" t="s">
        <v>2</v>
      </c>
      <c r="D29" s="15" t="s">
        <v>81</v>
      </c>
      <c r="E29" s="15" t="s">
        <v>118</v>
      </c>
      <c r="F29" s="15" t="s">
        <v>119</v>
      </c>
      <c r="G29" s="15" t="s">
        <v>120</v>
      </c>
    </row>
    <row r="30" customFormat="false" ht="22.35" hidden="false" customHeight="false" outlineLevel="0" collapsed="false">
      <c r="A30" s="14" t="n">
        <v>29</v>
      </c>
      <c r="B30" s="14" t="s">
        <v>12</v>
      </c>
      <c r="C30" s="14" t="s">
        <v>1</v>
      </c>
      <c r="D30" s="14" t="s">
        <v>26</v>
      </c>
      <c r="E30" s="14" t="s">
        <v>121</v>
      </c>
      <c r="F30" s="14" t="s">
        <v>122</v>
      </c>
      <c r="G30" s="14" t="s">
        <v>123</v>
      </c>
    </row>
    <row r="31" customFormat="false" ht="22.35" hidden="false" customHeight="false" outlineLevel="0" collapsed="false">
      <c r="A31" s="14" t="n">
        <v>30</v>
      </c>
      <c r="B31" s="14" t="s">
        <v>12</v>
      </c>
      <c r="C31" s="14" t="s">
        <v>1</v>
      </c>
      <c r="D31" s="14" t="s">
        <v>45</v>
      </c>
      <c r="E31" s="14" t="s">
        <v>124</v>
      </c>
      <c r="F31" s="14" t="s">
        <v>125</v>
      </c>
      <c r="G31" s="14" t="s">
        <v>126</v>
      </c>
    </row>
    <row r="32" customFormat="false" ht="22.35" hidden="false" customHeight="false" outlineLevel="0" collapsed="false">
      <c r="A32" s="14" t="n">
        <v>31</v>
      </c>
      <c r="B32" s="14" t="s">
        <v>12</v>
      </c>
      <c r="C32" s="14" t="s">
        <v>1</v>
      </c>
      <c r="D32" s="14" t="s">
        <v>56</v>
      </c>
      <c r="E32" s="14" t="s">
        <v>127</v>
      </c>
      <c r="F32" s="14" t="s">
        <v>128</v>
      </c>
      <c r="G32" s="14" t="s">
        <v>129</v>
      </c>
    </row>
    <row r="33" customFormat="false" ht="22.35" hidden="false" customHeight="false" outlineLevel="0" collapsed="false">
      <c r="A33" s="15" t="n">
        <v>32</v>
      </c>
      <c r="B33" s="15" t="s">
        <v>12</v>
      </c>
      <c r="C33" s="15" t="s">
        <v>2</v>
      </c>
      <c r="D33" s="15" t="s">
        <v>45</v>
      </c>
      <c r="E33" s="15" t="s">
        <v>130</v>
      </c>
      <c r="F33" s="15" t="s">
        <v>131</v>
      </c>
      <c r="G33" s="15" t="s">
        <v>132</v>
      </c>
    </row>
    <row r="34" customFormat="false" ht="15" hidden="false" customHeight="false" outlineLevel="0" collapsed="false">
      <c r="A34" s="15" t="n">
        <v>33</v>
      </c>
      <c r="B34" s="15" t="s">
        <v>12</v>
      </c>
      <c r="C34" s="15" t="s">
        <v>2</v>
      </c>
      <c r="D34" s="15" t="s">
        <v>133</v>
      </c>
      <c r="E34" s="15" t="s">
        <v>134</v>
      </c>
      <c r="F34" s="15" t="s">
        <v>135</v>
      </c>
      <c r="G34" s="15" t="s">
        <v>136</v>
      </c>
    </row>
    <row r="35" customFormat="false" ht="15" hidden="false" customHeight="false" outlineLevel="0" collapsed="false">
      <c r="A35" s="16" t="n">
        <v>34</v>
      </c>
      <c r="B35" s="16" t="s">
        <v>12</v>
      </c>
      <c r="C35" s="16" t="s">
        <v>3</v>
      </c>
      <c r="D35" s="16" t="s">
        <v>137</v>
      </c>
      <c r="E35" s="16" t="s">
        <v>138</v>
      </c>
      <c r="F35" s="16" t="s">
        <v>139</v>
      </c>
      <c r="G35" s="16" t="s">
        <v>140</v>
      </c>
    </row>
    <row r="36" customFormat="false" ht="22.35" hidden="false" customHeight="false" outlineLevel="0" collapsed="false">
      <c r="A36" s="14" t="n">
        <v>35</v>
      </c>
      <c r="B36" s="14" t="s">
        <v>13</v>
      </c>
      <c r="C36" s="14" t="s">
        <v>1</v>
      </c>
      <c r="D36" s="14" t="s">
        <v>56</v>
      </c>
      <c r="E36" s="14" t="s">
        <v>141</v>
      </c>
      <c r="F36" s="14" t="s">
        <v>142</v>
      </c>
      <c r="G36" s="14" t="s">
        <v>143</v>
      </c>
    </row>
    <row r="37" customFormat="false" ht="22.35" hidden="false" customHeight="false" outlineLevel="0" collapsed="false">
      <c r="A37" s="14" t="n">
        <v>36</v>
      </c>
      <c r="B37" s="14" t="s">
        <v>13</v>
      </c>
      <c r="C37" s="14" t="s">
        <v>1</v>
      </c>
      <c r="D37" s="14" t="s">
        <v>144</v>
      </c>
      <c r="E37" s="14" t="s">
        <v>145</v>
      </c>
      <c r="F37" s="14" t="s">
        <v>146</v>
      </c>
      <c r="G37" s="14" t="s">
        <v>147</v>
      </c>
    </row>
    <row r="38" customFormat="false" ht="15" hidden="false" customHeight="false" outlineLevel="0" collapsed="false">
      <c r="A38" s="14" t="n">
        <v>37</v>
      </c>
      <c r="B38" s="14" t="s">
        <v>13</v>
      </c>
      <c r="C38" s="14" t="s">
        <v>1</v>
      </c>
      <c r="D38" s="14" t="s">
        <v>30</v>
      </c>
      <c r="E38" s="14" t="s">
        <v>148</v>
      </c>
      <c r="F38" s="14" t="s">
        <v>149</v>
      </c>
      <c r="G38" s="14" t="s">
        <v>150</v>
      </c>
    </row>
    <row r="39" customFormat="false" ht="15" hidden="false" customHeight="false" outlineLevel="0" collapsed="false">
      <c r="A39" s="14" t="n">
        <v>38</v>
      </c>
      <c r="B39" s="14" t="s">
        <v>13</v>
      </c>
      <c r="C39" s="14" t="s">
        <v>1</v>
      </c>
      <c r="D39" s="14" t="s">
        <v>56</v>
      </c>
      <c r="E39" s="14" t="s">
        <v>151</v>
      </c>
      <c r="F39" s="14" t="s">
        <v>152</v>
      </c>
      <c r="G39" s="14" t="s">
        <v>153</v>
      </c>
    </row>
    <row r="40" customFormat="false" ht="22.35" hidden="false" customHeight="false" outlineLevel="0" collapsed="false">
      <c r="A40" s="14" t="n">
        <v>39</v>
      </c>
      <c r="B40" s="14" t="s">
        <v>13</v>
      </c>
      <c r="C40" s="14" t="s">
        <v>1</v>
      </c>
      <c r="D40" s="14" t="s">
        <v>45</v>
      </c>
      <c r="E40" s="14" t="s">
        <v>154</v>
      </c>
      <c r="F40" s="14" t="s">
        <v>155</v>
      </c>
      <c r="G40" s="14" t="s">
        <v>156</v>
      </c>
    </row>
    <row r="41" customFormat="false" ht="22.35" hidden="false" customHeight="false" outlineLevel="0" collapsed="false">
      <c r="A41" s="15" t="n">
        <v>40</v>
      </c>
      <c r="B41" s="15" t="s">
        <v>13</v>
      </c>
      <c r="C41" s="15" t="s">
        <v>2</v>
      </c>
      <c r="D41" s="15" t="s">
        <v>56</v>
      </c>
      <c r="E41" s="15" t="s">
        <v>157</v>
      </c>
      <c r="F41" s="15" t="s">
        <v>158</v>
      </c>
      <c r="G41" s="15" t="s">
        <v>159</v>
      </c>
    </row>
    <row r="42" customFormat="false" ht="22.35" hidden="false" customHeight="false" outlineLevel="0" collapsed="false">
      <c r="A42" s="15" t="n">
        <v>41</v>
      </c>
      <c r="B42" s="15" t="s">
        <v>13</v>
      </c>
      <c r="C42" s="15" t="s">
        <v>2</v>
      </c>
      <c r="D42" s="15" t="s">
        <v>160</v>
      </c>
      <c r="E42" s="15" t="s">
        <v>161</v>
      </c>
      <c r="F42" s="15" t="s">
        <v>162</v>
      </c>
      <c r="G42" s="15" t="s">
        <v>163</v>
      </c>
    </row>
    <row r="43" customFormat="false" ht="22.35" hidden="false" customHeight="false" outlineLevel="0" collapsed="false">
      <c r="A43" s="15" t="n">
        <v>42</v>
      </c>
      <c r="B43" s="15" t="s">
        <v>13</v>
      </c>
      <c r="C43" s="15" t="s">
        <v>2</v>
      </c>
      <c r="D43" s="15" t="s">
        <v>164</v>
      </c>
      <c r="E43" s="15" t="s">
        <v>165</v>
      </c>
      <c r="F43" s="15" t="s">
        <v>166</v>
      </c>
      <c r="G43" s="15" t="s">
        <v>167</v>
      </c>
    </row>
    <row r="44" customFormat="false" ht="22.35" hidden="false" customHeight="false" outlineLevel="0" collapsed="false">
      <c r="A44" s="14" t="n">
        <v>43</v>
      </c>
      <c r="B44" s="14" t="s">
        <v>14</v>
      </c>
      <c r="C44" s="14" t="s">
        <v>1</v>
      </c>
      <c r="D44" s="14" t="s">
        <v>56</v>
      </c>
      <c r="E44" s="14" t="s">
        <v>168</v>
      </c>
      <c r="F44" s="14" t="s">
        <v>169</v>
      </c>
      <c r="G44" s="14" t="s">
        <v>170</v>
      </c>
    </row>
    <row r="45" customFormat="false" ht="15" hidden="false" customHeight="false" outlineLevel="0" collapsed="false">
      <c r="A45" s="14" t="n">
        <v>44</v>
      </c>
      <c r="B45" s="14" t="s">
        <v>14</v>
      </c>
      <c r="C45" s="14" t="s">
        <v>1</v>
      </c>
      <c r="D45" s="14" t="s">
        <v>56</v>
      </c>
      <c r="E45" s="14" t="s">
        <v>171</v>
      </c>
      <c r="F45" s="14" t="s">
        <v>172</v>
      </c>
      <c r="G45" s="14" t="s">
        <v>173</v>
      </c>
    </row>
    <row r="46" customFormat="false" ht="22.35" hidden="false" customHeight="false" outlineLevel="0" collapsed="false">
      <c r="A46" s="14" t="n">
        <v>45</v>
      </c>
      <c r="B46" s="14" t="s">
        <v>14</v>
      </c>
      <c r="C46" s="14" t="s">
        <v>1</v>
      </c>
      <c r="D46" s="14" t="s">
        <v>26</v>
      </c>
      <c r="E46" s="14" t="s">
        <v>174</v>
      </c>
      <c r="F46" s="14" t="s">
        <v>175</v>
      </c>
      <c r="G46" s="14" t="s">
        <v>176</v>
      </c>
    </row>
    <row r="47" customFormat="false" ht="22.35" hidden="false" customHeight="false" outlineLevel="0" collapsed="false">
      <c r="A47" s="14" t="n">
        <v>46</v>
      </c>
      <c r="B47" s="14" t="s">
        <v>14</v>
      </c>
      <c r="C47" s="14" t="s">
        <v>1</v>
      </c>
      <c r="D47" s="14" t="s">
        <v>30</v>
      </c>
      <c r="E47" s="14" t="s">
        <v>177</v>
      </c>
      <c r="F47" s="14" t="s">
        <v>178</v>
      </c>
      <c r="G47" s="14" t="s">
        <v>179</v>
      </c>
    </row>
    <row r="48" customFormat="false" ht="15" hidden="false" customHeight="false" outlineLevel="0" collapsed="false">
      <c r="A48" s="14" t="n">
        <v>47</v>
      </c>
      <c r="B48" s="14" t="s">
        <v>14</v>
      </c>
      <c r="C48" s="14" t="s">
        <v>1</v>
      </c>
      <c r="D48" s="14" t="s">
        <v>180</v>
      </c>
      <c r="E48" s="14" t="s">
        <v>181</v>
      </c>
      <c r="F48" s="14" t="s">
        <v>182</v>
      </c>
      <c r="G48" s="14" t="s">
        <v>183</v>
      </c>
    </row>
    <row r="49" customFormat="false" ht="22.35" hidden="false" customHeight="false" outlineLevel="0" collapsed="false">
      <c r="A49" s="14" t="n">
        <v>48</v>
      </c>
      <c r="B49" s="14" t="s">
        <v>15</v>
      </c>
      <c r="C49" s="14" t="s">
        <v>1</v>
      </c>
      <c r="D49" s="14" t="s">
        <v>184</v>
      </c>
      <c r="E49" s="14" t="s">
        <v>185</v>
      </c>
      <c r="F49" s="14" t="s">
        <v>186</v>
      </c>
      <c r="G49" s="14" t="s">
        <v>187</v>
      </c>
    </row>
    <row r="50" customFormat="false" ht="22.35" hidden="false" customHeight="false" outlineLevel="0" collapsed="false">
      <c r="A50" s="14" t="n">
        <v>49</v>
      </c>
      <c r="B50" s="14" t="s">
        <v>15</v>
      </c>
      <c r="C50" s="14" t="s">
        <v>1</v>
      </c>
      <c r="D50" s="14" t="s">
        <v>56</v>
      </c>
      <c r="E50" s="14" t="s">
        <v>188</v>
      </c>
      <c r="F50" s="14" t="s">
        <v>189</v>
      </c>
      <c r="G50" s="14" t="s">
        <v>190</v>
      </c>
    </row>
    <row r="51" customFormat="false" ht="15" hidden="false" customHeight="false" outlineLevel="0" collapsed="false">
      <c r="A51" s="14" t="n">
        <v>50</v>
      </c>
      <c r="B51" s="14" t="s">
        <v>15</v>
      </c>
      <c r="C51" s="14" t="s">
        <v>1</v>
      </c>
      <c r="D51" s="14" t="s">
        <v>30</v>
      </c>
      <c r="E51" s="14" t="s">
        <v>191</v>
      </c>
      <c r="F51" s="14" t="s">
        <v>192</v>
      </c>
      <c r="G51" s="14" t="s">
        <v>193</v>
      </c>
    </row>
    <row r="52" customFormat="false" ht="22.35" hidden="false" customHeight="false" outlineLevel="0" collapsed="false">
      <c r="A52" s="15" t="n">
        <v>51</v>
      </c>
      <c r="B52" s="15" t="s">
        <v>15</v>
      </c>
      <c r="C52" s="15" t="s">
        <v>2</v>
      </c>
      <c r="D52" s="15" t="s">
        <v>30</v>
      </c>
      <c r="E52" s="15" t="s">
        <v>194</v>
      </c>
      <c r="F52" s="15" t="s">
        <v>195</v>
      </c>
      <c r="G52" s="15" t="s">
        <v>196</v>
      </c>
    </row>
    <row r="53" customFormat="false" ht="22.35" hidden="false" customHeight="false" outlineLevel="0" collapsed="false">
      <c r="A53" s="14" t="n">
        <v>52</v>
      </c>
      <c r="B53" s="14" t="s">
        <v>16</v>
      </c>
      <c r="C53" s="14" t="s">
        <v>1</v>
      </c>
      <c r="D53" s="14" t="s">
        <v>41</v>
      </c>
      <c r="E53" s="14" t="s">
        <v>197</v>
      </c>
      <c r="F53" s="14" t="s">
        <v>198</v>
      </c>
      <c r="G53" s="14" t="s">
        <v>199</v>
      </c>
    </row>
    <row r="54" customFormat="false" ht="22.35" hidden="false" customHeight="false" outlineLevel="0" collapsed="false">
      <c r="A54" s="14" t="n">
        <v>53</v>
      </c>
      <c r="B54" s="14" t="s">
        <v>16</v>
      </c>
      <c r="C54" s="14" t="s">
        <v>1</v>
      </c>
      <c r="D54" s="14" t="s">
        <v>26</v>
      </c>
      <c r="E54" s="14" t="s">
        <v>200</v>
      </c>
      <c r="F54" s="14" t="s">
        <v>201</v>
      </c>
      <c r="G54" s="14" t="s">
        <v>202</v>
      </c>
    </row>
    <row r="55" customFormat="false" ht="15" hidden="false" customHeight="false" outlineLevel="0" collapsed="false">
      <c r="A55" s="14" t="n">
        <v>54</v>
      </c>
      <c r="B55" s="14" t="s">
        <v>16</v>
      </c>
      <c r="C55" s="14" t="s">
        <v>1</v>
      </c>
      <c r="D55" s="14" t="s">
        <v>56</v>
      </c>
      <c r="E55" s="14" t="s">
        <v>203</v>
      </c>
      <c r="F55" s="14" t="s">
        <v>204</v>
      </c>
      <c r="G55" s="14" t="s">
        <v>205</v>
      </c>
    </row>
    <row r="56" customFormat="false" ht="22.35" hidden="false" customHeight="false" outlineLevel="0" collapsed="false">
      <c r="A56" s="14" t="n">
        <v>55</v>
      </c>
      <c r="B56" s="14" t="s">
        <v>16</v>
      </c>
      <c r="C56" s="14" t="s">
        <v>1</v>
      </c>
      <c r="D56" s="14" t="s">
        <v>41</v>
      </c>
      <c r="E56" s="14" t="s">
        <v>206</v>
      </c>
      <c r="F56" s="14" t="s">
        <v>207</v>
      </c>
      <c r="G56" s="14" t="s">
        <v>208</v>
      </c>
    </row>
    <row r="57" customFormat="false" ht="22.35" hidden="false" customHeight="false" outlineLevel="0" collapsed="false">
      <c r="A57" s="14" t="n">
        <v>56</v>
      </c>
      <c r="B57" s="14" t="s">
        <v>17</v>
      </c>
      <c r="C57" s="14" t="s">
        <v>1</v>
      </c>
      <c r="D57" s="14" t="s">
        <v>70</v>
      </c>
      <c r="E57" s="14" t="s">
        <v>209</v>
      </c>
      <c r="F57" s="14" t="s">
        <v>210</v>
      </c>
      <c r="G57" s="14" t="s">
        <v>211</v>
      </c>
    </row>
    <row r="58" customFormat="false" ht="15" hidden="false" customHeight="false" outlineLevel="0" collapsed="false">
      <c r="A58" s="14" t="n">
        <v>57</v>
      </c>
      <c r="B58" s="14" t="s">
        <v>18</v>
      </c>
      <c r="C58" s="14" t="s">
        <v>1</v>
      </c>
      <c r="D58" s="14" t="s">
        <v>70</v>
      </c>
      <c r="E58" s="14" t="s">
        <v>212</v>
      </c>
      <c r="F58" s="14" t="s">
        <v>213</v>
      </c>
      <c r="G58" s="14" t="s">
        <v>214</v>
      </c>
    </row>
    <row r="59" customFormat="false" ht="22.35" hidden="false" customHeight="false" outlineLevel="0" collapsed="false">
      <c r="A59" s="14" t="n">
        <v>58</v>
      </c>
      <c r="B59" s="14" t="s">
        <v>17</v>
      </c>
      <c r="C59" s="14" t="s">
        <v>1</v>
      </c>
      <c r="D59" s="14" t="s">
        <v>56</v>
      </c>
      <c r="E59" s="14" t="s">
        <v>215</v>
      </c>
      <c r="F59" s="14" t="s">
        <v>216</v>
      </c>
      <c r="G59" s="14" t="s">
        <v>217</v>
      </c>
    </row>
    <row r="60" customFormat="false" ht="15" hidden="false" customHeight="false" outlineLevel="0" collapsed="false">
      <c r="A60" s="14" t="n">
        <v>59</v>
      </c>
      <c r="B60" s="14" t="s">
        <v>19</v>
      </c>
      <c r="C60" s="14" t="s">
        <v>1</v>
      </c>
      <c r="D60" s="14" t="s">
        <v>56</v>
      </c>
      <c r="E60" s="14" t="s">
        <v>218</v>
      </c>
      <c r="F60" s="14" t="s">
        <v>219</v>
      </c>
      <c r="G60" s="14" t="s">
        <v>220</v>
      </c>
    </row>
    <row r="61" customFormat="false" ht="22.35" hidden="false" customHeight="false" outlineLevel="0" collapsed="false">
      <c r="A61" s="14" t="n">
        <v>60</v>
      </c>
      <c r="B61" s="14" t="s">
        <v>19</v>
      </c>
      <c r="C61" s="14" t="s">
        <v>1</v>
      </c>
      <c r="D61" s="14" t="s">
        <v>137</v>
      </c>
      <c r="E61" s="14" t="s">
        <v>221</v>
      </c>
      <c r="F61" s="14" t="s">
        <v>222</v>
      </c>
      <c r="G61" s="1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</row>
    <row r="2" customFormat="false" ht="15" hidden="false" customHeight="false" outlineLevel="0" collapsed="false">
      <c r="A2" s="14" t="n">
        <v>1</v>
      </c>
      <c r="B2" s="14" t="s">
        <v>229</v>
      </c>
      <c r="C2" s="14" t="s">
        <v>230</v>
      </c>
      <c r="D2" s="14" t="s">
        <v>231</v>
      </c>
      <c r="E2" s="14" t="s">
        <v>232</v>
      </c>
      <c r="F2" s="14" t="s">
        <v>233</v>
      </c>
    </row>
    <row r="3" customFormat="false" ht="22.35" hidden="false" customHeight="false" outlineLevel="0" collapsed="false">
      <c r="A3" s="14" t="n">
        <v>2</v>
      </c>
      <c r="B3" s="14" t="s">
        <v>229</v>
      </c>
      <c r="C3" s="14" t="s">
        <v>13</v>
      </c>
      <c r="D3" s="14" t="s">
        <v>234</v>
      </c>
      <c r="E3" s="14" t="s">
        <v>232</v>
      </c>
      <c r="F3" s="14" t="s">
        <v>233</v>
      </c>
    </row>
    <row r="4" customFormat="false" ht="22.35" hidden="false" customHeight="false" outlineLevel="0" collapsed="false">
      <c r="A4" s="14" t="n">
        <v>3</v>
      </c>
      <c r="B4" s="14" t="s">
        <v>229</v>
      </c>
      <c r="C4" s="14" t="s">
        <v>13</v>
      </c>
      <c r="D4" s="14" t="s">
        <v>235</v>
      </c>
      <c r="E4" s="14" t="s">
        <v>236</v>
      </c>
      <c r="F4" s="14" t="s">
        <v>237</v>
      </c>
    </row>
    <row r="5" customFormat="false" ht="15" hidden="false" customHeight="false" outlineLevel="0" collapsed="false">
      <c r="A5" s="14" t="n">
        <v>4</v>
      </c>
      <c r="B5" s="14" t="s">
        <v>229</v>
      </c>
      <c r="C5" s="14" t="s">
        <v>9</v>
      </c>
      <c r="D5" s="14" t="s">
        <v>238</v>
      </c>
      <c r="E5" s="14" t="s">
        <v>239</v>
      </c>
      <c r="F5" s="14" t="s">
        <v>240</v>
      </c>
    </row>
    <row r="6" customFormat="false" ht="15" hidden="false" customHeight="false" outlineLevel="0" collapsed="false">
      <c r="A6" s="15" t="n">
        <v>5</v>
      </c>
      <c r="B6" s="15" t="s">
        <v>241</v>
      </c>
      <c r="C6" s="15" t="s">
        <v>11</v>
      </c>
      <c r="D6" s="15" t="s">
        <v>242</v>
      </c>
      <c r="E6" s="15" t="s">
        <v>232</v>
      </c>
      <c r="F6" s="15" t="s">
        <v>243</v>
      </c>
    </row>
    <row r="7" customFormat="false" ht="15" hidden="false" customHeight="false" outlineLevel="0" collapsed="false">
      <c r="A7" s="15" t="n">
        <v>6</v>
      </c>
      <c r="B7" s="15" t="s">
        <v>241</v>
      </c>
      <c r="C7" s="15" t="s">
        <v>11</v>
      </c>
      <c r="D7" s="15" t="s">
        <v>244</v>
      </c>
      <c r="E7" s="15" t="s">
        <v>232</v>
      </c>
      <c r="F7" s="15" t="s">
        <v>240</v>
      </c>
    </row>
    <row r="8" customFormat="false" ht="22.35" hidden="false" customHeight="false" outlineLevel="0" collapsed="false">
      <c r="A8" s="15" t="n">
        <v>7</v>
      </c>
      <c r="B8" s="15" t="s">
        <v>241</v>
      </c>
      <c r="C8" s="15" t="s">
        <v>14</v>
      </c>
      <c r="D8" s="15" t="s">
        <v>245</v>
      </c>
      <c r="E8" s="15" t="s">
        <v>236</v>
      </c>
      <c r="F8" s="15" t="s">
        <v>246</v>
      </c>
    </row>
    <row r="9" customFormat="false" ht="15" hidden="false" customHeight="false" outlineLevel="0" collapsed="false">
      <c r="A9" s="15" t="n">
        <v>8</v>
      </c>
      <c r="B9" s="15" t="s">
        <v>241</v>
      </c>
      <c r="C9" s="15" t="s">
        <v>12</v>
      </c>
      <c r="D9" s="15" t="s">
        <v>247</v>
      </c>
      <c r="E9" s="15" t="s">
        <v>232</v>
      </c>
      <c r="F9" s="15" t="s">
        <v>240</v>
      </c>
    </row>
    <row r="10" customFormat="false" ht="15" hidden="false" customHeight="false" outlineLevel="0" collapsed="false">
      <c r="A10" s="15" t="n">
        <v>9</v>
      </c>
      <c r="B10" s="15" t="s">
        <v>241</v>
      </c>
      <c r="C10" s="15" t="s">
        <v>6</v>
      </c>
      <c r="D10" s="15" t="s">
        <v>248</v>
      </c>
      <c r="E10" s="15" t="s">
        <v>232</v>
      </c>
      <c r="F10" s="15" t="s">
        <v>237</v>
      </c>
    </row>
    <row r="11" customFormat="false" ht="15" hidden="false" customHeight="false" outlineLevel="0" collapsed="false">
      <c r="A11" s="15" t="n">
        <v>10</v>
      </c>
      <c r="B11" s="15" t="s">
        <v>241</v>
      </c>
      <c r="C11" s="15" t="s">
        <v>13</v>
      </c>
      <c r="D11" s="15" t="s">
        <v>249</v>
      </c>
      <c r="E11" s="15" t="s">
        <v>232</v>
      </c>
      <c r="F11" s="15" t="s">
        <v>233</v>
      </c>
    </row>
    <row r="12" customFormat="false" ht="15" hidden="false" customHeight="false" outlineLevel="0" collapsed="false">
      <c r="A12" s="16" t="n">
        <v>11</v>
      </c>
      <c r="B12" s="16" t="s">
        <v>250</v>
      </c>
      <c r="C12" s="16" t="s">
        <v>16</v>
      </c>
      <c r="D12" s="16" t="s">
        <v>251</v>
      </c>
      <c r="E12" s="16" t="s">
        <v>232</v>
      </c>
      <c r="F12" s="16" t="s">
        <v>243</v>
      </c>
    </row>
    <row r="13" customFormat="false" ht="15" hidden="false" customHeight="false" outlineLevel="0" collapsed="false">
      <c r="A13" s="16" t="n">
        <v>12</v>
      </c>
      <c r="B13" s="16" t="s">
        <v>250</v>
      </c>
      <c r="C13" s="16" t="s">
        <v>15</v>
      </c>
      <c r="D13" s="16" t="s">
        <v>252</v>
      </c>
      <c r="E13" s="16" t="s">
        <v>236</v>
      </c>
      <c r="F13" s="16" t="s">
        <v>243</v>
      </c>
    </row>
    <row r="14" customFormat="false" ht="15" hidden="false" customHeight="false" outlineLevel="0" collapsed="false">
      <c r="A14" s="16" t="n">
        <v>13</v>
      </c>
      <c r="B14" s="16" t="s">
        <v>250</v>
      </c>
      <c r="C14" s="16" t="s">
        <v>10</v>
      </c>
      <c r="D14" s="16" t="s">
        <v>253</v>
      </c>
      <c r="E14" s="16" t="s">
        <v>236</v>
      </c>
      <c r="F14" s="16" t="s">
        <v>254</v>
      </c>
    </row>
    <row r="15" customFormat="false" ht="15" hidden="false" customHeight="false" outlineLevel="0" collapsed="false">
      <c r="A15" s="16" t="n">
        <v>14</v>
      </c>
      <c r="B15" s="16" t="s">
        <v>250</v>
      </c>
      <c r="C15" s="16" t="s">
        <v>12</v>
      </c>
      <c r="D15" s="16" t="s">
        <v>255</v>
      </c>
      <c r="E15" s="16" t="s">
        <v>232</v>
      </c>
      <c r="F15" s="16" t="s">
        <v>237</v>
      </c>
    </row>
    <row r="16" customFormat="false" ht="15" hidden="false" customHeight="false" outlineLevel="0" collapsed="false">
      <c r="A16" s="16" t="n">
        <v>15</v>
      </c>
      <c r="B16" s="16" t="s">
        <v>250</v>
      </c>
      <c r="C16" s="16" t="s">
        <v>11</v>
      </c>
      <c r="D16" s="16" t="s">
        <v>256</v>
      </c>
      <c r="E16" s="16" t="s">
        <v>232</v>
      </c>
      <c r="F16" s="16" t="s">
        <v>237</v>
      </c>
    </row>
    <row r="17" customFormat="false" ht="15" hidden="false" customHeight="false" outlineLevel="0" collapsed="false">
      <c r="A17" s="16" t="n">
        <v>16</v>
      </c>
      <c r="B17" s="16" t="s">
        <v>250</v>
      </c>
      <c r="C17" s="16" t="s">
        <v>7</v>
      </c>
      <c r="D17" s="16" t="s">
        <v>257</v>
      </c>
      <c r="E17" s="16" t="s">
        <v>232</v>
      </c>
      <c r="F17" s="16" t="s">
        <v>237</v>
      </c>
    </row>
    <row r="18" customFormat="false" ht="15" hidden="false" customHeight="false" outlineLevel="0" collapsed="false">
      <c r="A18" s="17" t="n">
        <v>17</v>
      </c>
      <c r="B18" s="17" t="s">
        <v>258</v>
      </c>
      <c r="C18" s="17" t="s">
        <v>8</v>
      </c>
      <c r="D18" s="17" t="s">
        <v>259</v>
      </c>
      <c r="E18" s="17" t="s">
        <v>232</v>
      </c>
      <c r="F18" s="17" t="s">
        <v>237</v>
      </c>
    </row>
    <row r="19" customFormat="false" ht="15" hidden="false" customHeight="false" outlineLevel="0" collapsed="false">
      <c r="A19" s="17" t="n">
        <v>18</v>
      </c>
      <c r="B19" s="17" t="s">
        <v>258</v>
      </c>
      <c r="C19" s="17" t="s">
        <v>13</v>
      </c>
      <c r="D19" s="17" t="s">
        <v>260</v>
      </c>
      <c r="E19" s="17" t="s">
        <v>236</v>
      </c>
      <c r="F19" s="17" t="s">
        <v>243</v>
      </c>
    </row>
    <row r="20" customFormat="false" ht="15" hidden="false" customHeight="false" outlineLevel="0" collapsed="false">
      <c r="A20" s="17" t="n">
        <v>19</v>
      </c>
      <c r="B20" s="17" t="s">
        <v>258</v>
      </c>
      <c r="C20" s="17" t="s">
        <v>12</v>
      </c>
      <c r="D20" s="17" t="s">
        <v>261</v>
      </c>
      <c r="E20" s="17" t="s">
        <v>232</v>
      </c>
      <c r="F20" s="17" t="s">
        <v>233</v>
      </c>
    </row>
    <row r="21" customFormat="false" ht="15" hidden="false" customHeight="false" outlineLevel="0" collapsed="false">
      <c r="A21" s="17" t="n">
        <v>20</v>
      </c>
      <c r="B21" s="17" t="s">
        <v>258</v>
      </c>
      <c r="C21" s="17" t="s">
        <v>15</v>
      </c>
      <c r="D21" s="17" t="s">
        <v>262</v>
      </c>
      <c r="E21" s="17" t="s">
        <v>232</v>
      </c>
      <c r="F21" s="17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" t="s">
        <v>263</v>
      </c>
      <c r="B1" s="1" t="s">
        <v>264</v>
      </c>
      <c r="C1" s="1" t="s">
        <v>265</v>
      </c>
      <c r="D1" s="1" t="s">
        <v>23</v>
      </c>
    </row>
    <row r="2" customFormat="false" ht="22.35" hidden="false" customHeight="false" outlineLevel="0" collapsed="false">
      <c r="A2" s="18" t="s">
        <v>266</v>
      </c>
      <c r="B2" s="18" t="n">
        <v>28</v>
      </c>
      <c r="C2" s="18" t="s">
        <v>267</v>
      </c>
      <c r="D2" s="18" t="s">
        <v>268</v>
      </c>
    </row>
    <row r="3" customFormat="false" ht="22.35" hidden="false" customHeight="false" outlineLevel="0" collapsed="false">
      <c r="A3" s="18" t="s">
        <v>269</v>
      </c>
      <c r="B3" s="18" t="n">
        <v>18</v>
      </c>
      <c r="C3" s="18" t="s">
        <v>270</v>
      </c>
      <c r="D3" s="18" t="s">
        <v>271</v>
      </c>
    </row>
    <row r="4" customFormat="false" ht="22.35" hidden="false" customHeight="false" outlineLevel="0" collapsed="false">
      <c r="A4" s="18" t="s">
        <v>272</v>
      </c>
      <c r="B4" s="18" t="n">
        <v>14</v>
      </c>
      <c r="C4" s="18" t="s">
        <v>273</v>
      </c>
      <c r="D4" s="18" t="s">
        <v>274</v>
      </c>
    </row>
    <row r="5" customFormat="false" ht="22.35" hidden="false" customHeight="false" outlineLevel="0" collapsed="false">
      <c r="A5" s="18" t="s">
        <v>275</v>
      </c>
      <c r="B5" s="18" t="n">
        <v>12</v>
      </c>
      <c r="C5" s="18" t="s">
        <v>276</v>
      </c>
      <c r="D5" s="18" t="s">
        <v>277</v>
      </c>
    </row>
    <row r="6" customFormat="false" ht="15" hidden="false" customHeight="false" outlineLevel="0" collapsed="false">
      <c r="A6" s="18" t="s">
        <v>77</v>
      </c>
      <c r="B6" s="18" t="n">
        <v>4</v>
      </c>
      <c r="C6" s="18" t="s">
        <v>278</v>
      </c>
      <c r="D6" s="18" t="s">
        <v>279</v>
      </c>
    </row>
    <row r="7" customFormat="false" ht="22.35" hidden="false" customHeight="false" outlineLevel="0" collapsed="false">
      <c r="A7" s="18" t="s">
        <v>184</v>
      </c>
      <c r="B7" s="18" t="n">
        <v>3</v>
      </c>
      <c r="C7" s="18" t="s">
        <v>280</v>
      </c>
      <c r="D7" s="18" t="s">
        <v>281</v>
      </c>
    </row>
    <row r="8" customFormat="false" ht="22.35" hidden="false" customHeight="false" outlineLevel="0" collapsed="false">
      <c r="A8" s="18" t="s">
        <v>282</v>
      </c>
      <c r="B8" s="18" t="n">
        <v>5</v>
      </c>
      <c r="C8" s="18" t="s">
        <v>283</v>
      </c>
      <c r="D8" s="18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2026-04-06T20:25:52Z</dcterms:created>
  <dc:creator>openpyxl</dc:creator>
  <dc:description/>
  <dc:language>en-US</dc:language>
  <cp:lastModifiedBy/>
  <dcterms:modified xsi:type="dcterms:W3CDTF">2026-04-06T20:25:52Z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